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7422\Downloads\anexos\"/>
    </mc:Choice>
  </mc:AlternateContent>
  <xr:revisionPtr revIDLastSave="0" documentId="13_ncr:1_{D03FC12D-F61F-4908-BCDE-E10041E6F34F}" xr6:coauthVersionLast="47" xr6:coauthVersionMax="47" xr10:uidLastSave="{00000000-0000-0000-0000-000000000000}"/>
  <bookViews>
    <workbookView xWindow="-120" yWindow="-120" windowWidth="29040" windowHeight="17520" xr2:uid="{F043CD35-4EC0-4E73-B105-4F3FF39130F0}"/>
  </bookViews>
  <sheets>
    <sheet name="CERTO" sheetId="1" r:id="rId1"/>
    <sheet name="Glos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G19" i="1"/>
  <c r="I16" i="1"/>
  <c r="G16" i="1"/>
  <c r="I15" i="1"/>
  <c r="G15" i="1"/>
  <c r="I14" i="1"/>
  <c r="G14" i="1"/>
  <c r="D6" i="1"/>
  <c r="F7" i="1"/>
  <c r="D7" i="1" l="1"/>
  <c r="D8" i="1" s="1"/>
  <c r="D5" i="1"/>
  <c r="D4" i="1"/>
  <c r="D3" i="1" l="1"/>
  <c r="H6" i="1"/>
  <c r="H5" i="1" l="1"/>
  <c r="H4" i="1"/>
  <c r="H7" i="1"/>
  <c r="H8" i="1" s="1"/>
  <c r="H3" i="1" l="1"/>
</calcChain>
</file>

<file path=xl/sharedStrings.xml><?xml version="1.0" encoding="utf-8"?>
<sst xmlns="http://schemas.openxmlformats.org/spreadsheetml/2006/main" count="58" uniqueCount="49">
  <si>
    <t xml:space="preserve"> IMP. LICITACIÓN</t>
  </si>
  <si>
    <t xml:space="preserve"> OFERTA ECONÓMICA</t>
  </si>
  <si>
    <t>Número de Lote</t>
  </si>
  <si>
    <t>% Beneficio Industrial</t>
  </si>
  <si>
    <t>Total Beneficio Industrial</t>
  </si>
  <si>
    <t>% Beneficio Industrial ofertado</t>
  </si>
  <si>
    <t xml:space="preserve">% Gastos Generales </t>
  </si>
  <si>
    <t>Total Gastos Generales</t>
  </si>
  <si>
    <t>% Gastos Generales ofertados</t>
  </si>
  <si>
    <t>Base Imponible (sin IVA)</t>
  </si>
  <si>
    <t>Importe ofertado (sin IVA)</t>
  </si>
  <si>
    <t>% IVA</t>
  </si>
  <si>
    <t>Importe IVA</t>
  </si>
  <si>
    <t>Presupuesto Base de Licitación con IVA</t>
  </si>
  <si>
    <t>Importe total ofertado con IVA</t>
  </si>
  <si>
    <t>Presupuesto de licitación</t>
  </si>
  <si>
    <t>Presupuesto ofertado</t>
  </si>
  <si>
    <t>Código Jerarquía</t>
  </si>
  <si>
    <t>Código libre</t>
  </si>
  <si>
    <t>Resumen</t>
  </si>
  <si>
    <t>Unidad Medida</t>
  </si>
  <si>
    <t>Cantidad Presupuesto</t>
  </si>
  <si>
    <t>Precio Un Licitación</t>
  </si>
  <si>
    <t>Importe Licitado</t>
  </si>
  <si>
    <t>Precio Un Ofertante</t>
  </si>
  <si>
    <t>Importe ofertado</t>
  </si>
  <si>
    <t>1</t>
  </si>
  <si>
    <t>1.1</t>
  </si>
  <si>
    <t>1.2</t>
  </si>
  <si>
    <t>Campos a rellenar por Metro</t>
  </si>
  <si>
    <t>Campos a rellenar por el ofertante</t>
  </si>
  <si>
    <t>Campos calculados</t>
  </si>
  <si>
    <t>Los importes de los precios de unidades de certificación incluyen BI y GG, por lo que los totales de estos conceptos están calculados a modo informativo.</t>
  </si>
  <si>
    <t>Total Presupuesto:</t>
  </si>
  <si>
    <t>Total Presupuesto ofertado:</t>
  </si>
  <si>
    <t>T1</t>
  </si>
  <si>
    <t>Herramienta cálculo Huella de Carbono</t>
  </si>
  <si>
    <t>C1</t>
  </si>
  <si>
    <t>Fases del Trabajo</t>
  </si>
  <si>
    <t>Fase 1: Implantación de la herramienta informática</t>
  </si>
  <si>
    <t>ud</t>
  </si>
  <si>
    <t>Fase 2: Operación</t>
  </si>
  <si>
    <t xml:space="preserve">Fase 3 : Mantenimiento de la herramienta informática y asistencia </t>
  </si>
  <si>
    <t>C2</t>
  </si>
  <si>
    <t>Bolsa de horas de trabajo</t>
  </si>
  <si>
    <t>Bolsa de horas para nuevos desarrollos</t>
  </si>
  <si>
    <t>UC de tanto alzado</t>
  </si>
  <si>
    <t>Tanto alzado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</si>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</sst>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%"/>
    <numFmt numFmtId="166" formatCode="#,##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49" fontId="3" fillId="0" borderId="0" xfId="0" applyNumberFormat="1" applyFont="1" applyProtection="1">
      <protection locked="0"/>
    </xf>
    <xf numFmtId="1" fontId="3" fillId="0" borderId="0" xfId="0" applyNumberFormat="1" applyFont="1" applyProtection="1">
      <protection locked="0"/>
    </xf>
    <xf numFmtId="9" fontId="3" fillId="0" borderId="4" xfId="0" quotePrefix="1" applyNumberFormat="1" applyFont="1" applyBorder="1" applyProtection="1">
      <protection locked="0"/>
    </xf>
    <xf numFmtId="3" fontId="3" fillId="0" borderId="3" xfId="0" applyNumberFormat="1" applyFont="1" applyBorder="1" applyProtection="1">
      <protection locked="0"/>
    </xf>
    <xf numFmtId="0" fontId="2" fillId="2" borderId="0" xfId="0" applyFont="1" applyFill="1" applyAlignment="1">
      <alignment horizontal="left" vertical="top"/>
    </xf>
    <xf numFmtId="4" fontId="0" fillId="0" borderId="0" xfId="0" applyNumberFormat="1"/>
    <xf numFmtId="164" fontId="0" fillId="0" borderId="0" xfId="0" applyNumberFormat="1"/>
    <xf numFmtId="49" fontId="4" fillId="4" borderId="8" xfId="0" applyNumberFormat="1" applyFont="1" applyFill="1" applyBorder="1"/>
    <xf numFmtId="4" fontId="3" fillId="5" borderId="3" xfId="0" applyNumberFormat="1" applyFont="1" applyFill="1" applyBorder="1"/>
    <xf numFmtId="49" fontId="4" fillId="4" borderId="1" xfId="0" applyNumberFormat="1" applyFont="1" applyFill="1" applyBorder="1"/>
    <xf numFmtId="49" fontId="3" fillId="4" borderId="2" xfId="0" applyNumberFormat="1" applyFont="1" applyFill="1" applyBorder="1"/>
    <xf numFmtId="4" fontId="3" fillId="5" borderId="2" xfId="0" applyNumberFormat="1" applyFont="1" applyFill="1" applyBorder="1"/>
    <xf numFmtId="4" fontId="4" fillId="4" borderId="1" xfId="0" applyNumberFormat="1" applyFont="1" applyFill="1" applyBorder="1"/>
    <xf numFmtId="49" fontId="4" fillId="4" borderId="5" xfId="0" applyNumberFormat="1" applyFont="1" applyFill="1" applyBorder="1"/>
    <xf numFmtId="4" fontId="4" fillId="4" borderId="5" xfId="0" applyNumberFormat="1" applyFont="1" applyFill="1" applyBorder="1"/>
    <xf numFmtId="9" fontId="3" fillId="5" borderId="4" xfId="0" quotePrefix="1" applyNumberFormat="1" applyFont="1" applyFill="1" applyBorder="1"/>
    <xf numFmtId="4" fontId="4" fillId="5" borderId="2" xfId="0" applyNumberFormat="1" applyFont="1" applyFill="1" applyBorder="1"/>
    <xf numFmtId="49" fontId="0" fillId="0" borderId="0" xfId="0" applyNumberFormat="1"/>
    <xf numFmtId="0" fontId="2" fillId="2" borderId="0" xfId="0" applyFont="1" applyFill="1"/>
    <xf numFmtId="4" fontId="2" fillId="2" borderId="0" xfId="0" applyNumberFormat="1" applyFont="1" applyFill="1"/>
    <xf numFmtId="0" fontId="0" fillId="0" borderId="0" xfId="0" applyProtection="1">
      <protection locked="0"/>
    </xf>
    <xf numFmtId="4" fontId="0" fillId="4" borderId="0" xfId="0" applyNumberFormat="1" applyFill="1" applyProtection="1">
      <protection locked="0"/>
    </xf>
    <xf numFmtId="4" fontId="3" fillId="4" borderId="0" xfId="0" applyNumberFormat="1" applyFont="1" applyFill="1" applyProtection="1">
      <protection locked="0"/>
    </xf>
    <xf numFmtId="165" fontId="3" fillId="0" borderId="4" xfId="0" quotePrefix="1" applyNumberFormat="1" applyFont="1" applyBorder="1" applyProtection="1">
      <protection locked="0"/>
    </xf>
    <xf numFmtId="165" fontId="3" fillId="3" borderId="4" xfId="0" quotePrefix="1" applyNumberFormat="1" applyFont="1" applyFill="1" applyBorder="1" applyProtection="1">
      <protection locked="0"/>
    </xf>
    <xf numFmtId="166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66" fontId="0" fillId="0" borderId="0" xfId="0" applyNumberFormat="1"/>
    <xf numFmtId="164" fontId="3" fillId="3" borderId="0" xfId="0" applyNumberFormat="1" applyFont="1" applyFill="1" applyProtection="1">
      <protection locked="0"/>
    </xf>
    <xf numFmtId="0" fontId="2" fillId="2" borderId="1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6" xfId="0" applyNumberFormat="1" applyFont="1" applyFill="1" applyBorder="1" applyAlignment="1">
      <alignment horizontal="left" wrapText="1"/>
    </xf>
    <xf numFmtId="49" fontId="4" fillId="4" borderId="7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/>
    </xf>
    <xf numFmtId="49" fontId="4" fillId="4" borderId="6" xfId="0" applyNumberFormat="1" applyFont="1" applyFill="1" applyBorder="1" applyAlignment="1">
      <alignment horizontal="left"/>
    </xf>
    <xf numFmtId="49" fontId="4" fillId="4" borderId="7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2" fillId="4" borderId="6" xfId="0" applyNumberFormat="1" applyFont="1" applyFill="1" applyBorder="1" applyAlignment="1">
      <alignment horizontal="left"/>
    </xf>
    <xf numFmtId="49" fontId="2" fillId="4" borderId="7" xfId="0" applyNumberFormat="1" applyFont="1" applyFill="1" applyBorder="1" applyAlignment="1">
      <alignment horizontal="left"/>
    </xf>
    <xf numFmtId="0" fontId="5" fillId="0" borderId="9" xfId="0" applyFont="1" applyBorder="1" applyAlignment="1">
      <alignment horizontal="center" vertical="center"/>
    </xf>
    <xf numFmtId="49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4" fontId="0" fillId="4" borderId="0" xfId="0" applyNumberFormat="1" applyFill="1"/>
    <xf numFmtId="164" fontId="3" fillId="3" borderId="0" xfId="0" applyNumberFormat="1" applyFont="1" applyFill="1"/>
    <xf numFmtId="4" fontId="3" fillId="4" borderId="0" xfId="0" applyNumberFormat="1" applyFont="1" applyFill="1"/>
    <xf numFmtId="1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121921</xdr:colOff>
      <xdr:row>0</xdr:row>
      <xdr:rowOff>60960</xdr:rowOff>
    </xdr:from>
    <xdr:to>
      <xdr:col>8</xdr:col>
      <xdr:colOff>1234441</xdr:colOff>
      <xdr:row>3</xdr:row>
      <xdr:rowOff>132531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F57BF5A-8ED5-8C00-CDA8-DA403812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1" y="60960"/>
          <a:ext cx="1112520" cy="64307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3515-2B54-4B4E-A8C2-5FF92E5D40AB}">
  <dimension ref="A1:I202"/>
  <sheetViews>
    <sheetView tabSelected="1" workbookViewId="0">
      <selection activeCell="A22" sqref="A22"/>
    </sheetView>
  </sheetViews>
  <sheetFormatPr baseColWidth="10" defaultColWidth="11.42578125" defaultRowHeight="15" x14ac:dyDescent="0.25"/>
  <cols>
    <col min="1" max="1" width="28.28515625" customWidth="1"/>
    <col min="2" max="2" width="12.140625" bestFit="1" customWidth="1"/>
    <col min="3" max="3" width="33.28515625" customWidth="1"/>
    <col min="4" max="4" width="18.7109375" customWidth="1"/>
    <col min="5" max="5" width="27.7109375" style="7" customWidth="1"/>
    <col min="6" max="6" width="18" style="7" bestFit="1" customWidth="1"/>
    <col min="7" max="7" width="22.5703125" style="8" customWidth="1"/>
    <col min="8" max="8" width="19.7109375" bestFit="1" customWidth="1"/>
    <col min="9" max="9" width="18.7109375" style="7" customWidth="1"/>
    <col min="10" max="10" width="13.85546875" bestFit="1" customWidth="1"/>
    <col min="11" max="11" width="15.140625" bestFit="1" customWidth="1"/>
  </cols>
  <sheetData>
    <row r="1" spans="1:9" ht="15.75" thickBot="1" x14ac:dyDescent="0.3">
      <c r="D1" s="6" t="s">
        <v>0</v>
      </c>
      <c r="H1" s="6" t="s">
        <v>1</v>
      </c>
    </row>
    <row r="2" spans="1:9" ht="15.75" thickBot="1" x14ac:dyDescent="0.3">
      <c r="A2" s="9" t="s">
        <v>2</v>
      </c>
      <c r="B2" s="5"/>
    </row>
    <row r="3" spans="1:9" ht="15" customHeight="1" thickBot="1" x14ac:dyDescent="0.3">
      <c r="A3" s="33" t="s">
        <v>33</v>
      </c>
      <c r="B3" s="34"/>
      <c r="C3" s="35"/>
      <c r="D3" s="10">
        <f>ROUND(D6-D5-D4,2)</f>
        <v>73652.17</v>
      </c>
      <c r="E3" s="33" t="s">
        <v>34</v>
      </c>
      <c r="F3" s="34"/>
      <c r="G3" s="35"/>
      <c r="H3" s="10">
        <f>ROUND(H6-H5-H4,2)</f>
        <v>0</v>
      </c>
    </row>
    <row r="4" spans="1:9" ht="15" customHeight="1" thickBot="1" x14ac:dyDescent="0.3">
      <c r="A4" s="11" t="s">
        <v>3</v>
      </c>
      <c r="B4" s="25">
        <v>0.06</v>
      </c>
      <c r="C4" s="12" t="s">
        <v>4</v>
      </c>
      <c r="D4" s="13">
        <f>ROUND((D6/(1+B5+B4))*B4,2)</f>
        <v>4419.13</v>
      </c>
      <c r="E4" s="14" t="s">
        <v>5</v>
      </c>
      <c r="F4" s="26"/>
      <c r="G4" s="12" t="s">
        <v>4</v>
      </c>
      <c r="H4" s="13">
        <f>ROUND((H6/(1+F5+F4))*F4,2)</f>
        <v>0</v>
      </c>
    </row>
    <row r="5" spans="1:9" ht="15.75" thickBot="1" x14ac:dyDescent="0.3">
      <c r="A5" s="11" t="s">
        <v>6</v>
      </c>
      <c r="B5" s="25">
        <v>0.09</v>
      </c>
      <c r="C5" s="12" t="s">
        <v>7</v>
      </c>
      <c r="D5" s="13">
        <f>ROUND((D6/(1+B4+B5))*B5,2)</f>
        <v>6628.7</v>
      </c>
      <c r="E5" s="14" t="s">
        <v>8</v>
      </c>
      <c r="F5" s="26"/>
      <c r="G5" s="12" t="s">
        <v>7</v>
      </c>
      <c r="H5" s="13">
        <f>ROUND((H6/(1+F5+F4))*F5,2)</f>
        <v>0</v>
      </c>
    </row>
    <row r="6" spans="1:9" ht="15.75" thickBot="1" x14ac:dyDescent="0.3">
      <c r="A6" s="36" t="s">
        <v>9</v>
      </c>
      <c r="B6" s="37"/>
      <c r="C6" s="38"/>
      <c r="D6" s="10">
        <f>SUM(G:G)</f>
        <v>84700</v>
      </c>
      <c r="E6" s="36" t="s">
        <v>10</v>
      </c>
      <c r="F6" s="37"/>
      <c r="G6" s="38"/>
      <c r="H6" s="13">
        <f>SUM(I:I)</f>
        <v>0</v>
      </c>
    </row>
    <row r="7" spans="1:9" ht="15.75" thickBot="1" x14ac:dyDescent="0.3">
      <c r="A7" s="15" t="s">
        <v>11</v>
      </c>
      <c r="B7" s="4">
        <v>0.21</v>
      </c>
      <c r="C7" s="12" t="s">
        <v>12</v>
      </c>
      <c r="D7" s="13">
        <f>ROUND($D$6*B7,2)</f>
        <v>17787</v>
      </c>
      <c r="E7" s="16" t="s">
        <v>11</v>
      </c>
      <c r="F7" s="17">
        <f>B7</f>
        <v>0.21</v>
      </c>
      <c r="G7" s="12" t="s">
        <v>12</v>
      </c>
      <c r="H7" s="13">
        <f>ROUND($H$6*F7,2)</f>
        <v>0</v>
      </c>
    </row>
    <row r="8" spans="1:9" ht="15.75" thickBot="1" x14ac:dyDescent="0.3">
      <c r="A8" s="39" t="s">
        <v>13</v>
      </c>
      <c r="B8" s="40"/>
      <c r="C8" s="41"/>
      <c r="D8" s="18">
        <f>SUM(D6:D7)</f>
        <v>102487</v>
      </c>
      <c r="E8" s="39" t="s">
        <v>14</v>
      </c>
      <c r="F8" s="40"/>
      <c r="G8" s="41"/>
      <c r="H8" s="18">
        <f>SUM(H6:H7)</f>
        <v>0</v>
      </c>
    </row>
    <row r="9" spans="1:9" ht="63" customHeight="1" thickBot="1" x14ac:dyDescent="0.3">
      <c r="A9" s="42" t="s">
        <v>32</v>
      </c>
      <c r="B9" s="42"/>
      <c r="C9" s="42"/>
      <c r="D9" s="42"/>
      <c r="E9" s="42"/>
      <c r="F9" s="42"/>
      <c r="G9" s="42"/>
      <c r="H9" s="42"/>
    </row>
    <row r="10" spans="1:9" ht="15.75" thickBot="1" x14ac:dyDescent="0.3">
      <c r="A10" s="19"/>
      <c r="F10" s="31" t="s">
        <v>15</v>
      </c>
      <c r="G10" s="32"/>
      <c r="H10" s="31" t="s">
        <v>16</v>
      </c>
      <c r="I10" s="32"/>
    </row>
    <row r="11" spans="1:9" x14ac:dyDescent="0.25">
      <c r="A11" s="20" t="s">
        <v>17</v>
      </c>
      <c r="B11" s="20" t="s">
        <v>18</v>
      </c>
      <c r="C11" s="20" t="s">
        <v>19</v>
      </c>
      <c r="D11" s="20" t="s">
        <v>20</v>
      </c>
      <c r="E11" s="21" t="s">
        <v>21</v>
      </c>
      <c r="F11" s="21" t="s">
        <v>22</v>
      </c>
      <c r="G11" s="20" t="s">
        <v>23</v>
      </c>
      <c r="H11" s="20" t="s">
        <v>24</v>
      </c>
      <c r="I11" s="20" t="s">
        <v>25</v>
      </c>
    </row>
    <row r="12" spans="1:9" s="22" customFormat="1" x14ac:dyDescent="0.25">
      <c r="A12" s="43" t="s">
        <v>26</v>
      </c>
      <c r="B12" s="43" t="s">
        <v>35</v>
      </c>
      <c r="C12" s="43" t="s">
        <v>36</v>
      </c>
      <c r="D12" s="43"/>
      <c r="E12" s="44"/>
      <c r="F12" s="45"/>
      <c r="G12" s="46"/>
      <c r="H12" s="47"/>
      <c r="I12" s="48"/>
    </row>
    <row r="13" spans="1:9" s="22" customFormat="1" x14ac:dyDescent="0.25">
      <c r="A13" s="43" t="s">
        <v>27</v>
      </c>
      <c r="B13" s="43" t="s">
        <v>37</v>
      </c>
      <c r="C13" s="43" t="s">
        <v>38</v>
      </c>
      <c r="D13" s="43"/>
      <c r="E13" s="44"/>
      <c r="F13" s="45"/>
      <c r="G13" s="46"/>
      <c r="H13" s="47"/>
      <c r="I13" s="48"/>
    </row>
    <row r="14" spans="1:9" s="22" customFormat="1" x14ac:dyDescent="0.25">
      <c r="A14" s="43"/>
      <c r="B14" s="43"/>
      <c r="C14" s="43" t="s">
        <v>39</v>
      </c>
      <c r="D14" s="49" t="s">
        <v>40</v>
      </c>
      <c r="E14" s="50">
        <v>1</v>
      </c>
      <c r="F14" s="45">
        <v>8500</v>
      </c>
      <c r="G14" s="46">
        <f>ROUND(E14*F14,2)</f>
        <v>8500</v>
      </c>
      <c r="H14" s="30"/>
      <c r="I14" s="48">
        <f>ROUND(E14*H14,2)</f>
        <v>0</v>
      </c>
    </row>
    <row r="15" spans="1:9" s="22" customFormat="1" x14ac:dyDescent="0.25">
      <c r="A15" s="43"/>
      <c r="B15" s="43"/>
      <c r="C15" s="43" t="s">
        <v>41</v>
      </c>
      <c r="D15" s="49" t="s">
        <v>40</v>
      </c>
      <c r="E15" s="50">
        <v>3</v>
      </c>
      <c r="F15" s="45">
        <v>6000</v>
      </c>
      <c r="G15" s="46">
        <f t="shared" ref="G15:G19" si="0">ROUND(E15*F15,2)</f>
        <v>18000</v>
      </c>
      <c r="H15" s="30"/>
      <c r="I15" s="48">
        <f t="shared" ref="I15:I19" si="1">ROUND(E15*H15,2)</f>
        <v>0</v>
      </c>
    </row>
    <row r="16" spans="1:9" s="22" customFormat="1" x14ac:dyDescent="0.25">
      <c r="A16" s="43"/>
      <c r="B16" s="43"/>
      <c r="C16" s="43" t="s">
        <v>42</v>
      </c>
      <c r="D16" s="49" t="s">
        <v>40</v>
      </c>
      <c r="E16" s="50">
        <v>36</v>
      </c>
      <c r="F16" s="45">
        <v>1200</v>
      </c>
      <c r="G16" s="46">
        <f t="shared" si="0"/>
        <v>43200</v>
      </c>
      <c r="H16" s="30"/>
      <c r="I16" s="48">
        <f t="shared" si="1"/>
        <v>0</v>
      </c>
    </row>
    <row r="17" spans="1:9" s="22" customFormat="1" x14ac:dyDescent="0.25">
      <c r="A17" s="43" t="s">
        <v>28</v>
      </c>
      <c r="B17" s="43" t="s">
        <v>43</v>
      </c>
      <c r="C17" s="43" t="s">
        <v>44</v>
      </c>
      <c r="D17" s="49"/>
      <c r="E17" s="50"/>
      <c r="F17" s="45"/>
      <c r="G17" s="46"/>
      <c r="H17" s="47"/>
      <c r="I17" s="48"/>
    </row>
    <row r="18" spans="1:9" s="22" customFormat="1" x14ac:dyDescent="0.25">
      <c r="A18" s="43"/>
      <c r="B18" s="43"/>
      <c r="C18" s="43" t="s">
        <v>46</v>
      </c>
      <c r="D18" s="49" t="s">
        <v>47</v>
      </c>
      <c r="E18" s="50" t="s">
        <v>48</v>
      </c>
      <c r="F18" s="45" t="s">
        <v>48</v>
      </c>
      <c r="G18" s="46">
        <v>1000</v>
      </c>
      <c r="H18" s="47" t="s">
        <v>48</v>
      </c>
      <c r="I18" s="48"/>
    </row>
    <row r="19" spans="1:9" s="22" customFormat="1" x14ac:dyDescent="0.25">
      <c r="A19" s="43"/>
      <c r="B19" s="43"/>
      <c r="C19" s="43" t="s">
        <v>45</v>
      </c>
      <c r="D19" s="49" t="s">
        <v>40</v>
      </c>
      <c r="E19" s="50">
        <v>140</v>
      </c>
      <c r="F19" s="45">
        <v>100</v>
      </c>
      <c r="G19" s="46">
        <f t="shared" si="0"/>
        <v>14000</v>
      </c>
      <c r="H19" s="30"/>
      <c r="I19" s="48">
        <f t="shared" si="1"/>
        <v>0</v>
      </c>
    </row>
    <row r="20" spans="1:9" s="22" customFormat="1" x14ac:dyDescent="0.25">
      <c r="A20" s="2"/>
      <c r="B20" s="2"/>
      <c r="C20" s="2"/>
      <c r="D20" s="3"/>
      <c r="E20" s="27"/>
      <c r="F20" s="28"/>
      <c r="G20" s="23"/>
      <c r="H20" s="30"/>
      <c r="I20" s="24"/>
    </row>
    <row r="21" spans="1:9" s="22" customFormat="1" x14ac:dyDescent="0.25">
      <c r="A21" s="2"/>
      <c r="B21" s="2"/>
      <c r="C21" s="2"/>
      <c r="D21" s="3"/>
      <c r="E21" s="27"/>
      <c r="F21" s="28"/>
      <c r="G21" s="23"/>
      <c r="H21" s="30"/>
      <c r="I21" s="24"/>
    </row>
    <row r="22" spans="1:9" s="22" customFormat="1" x14ac:dyDescent="0.25">
      <c r="A22" s="2"/>
      <c r="B22" s="2"/>
      <c r="C22" s="2"/>
      <c r="D22" s="3"/>
      <c r="E22" s="27"/>
      <c r="F22" s="28"/>
      <c r="G22" s="23"/>
      <c r="H22" s="30"/>
      <c r="I22" s="24"/>
    </row>
    <row r="23" spans="1:9" s="22" customFormat="1" x14ac:dyDescent="0.25">
      <c r="A23" s="2"/>
      <c r="B23" s="2"/>
      <c r="C23" s="2"/>
      <c r="D23" s="3"/>
      <c r="E23" s="27"/>
      <c r="F23" s="28"/>
      <c r="G23" s="23"/>
      <c r="H23" s="30"/>
      <c r="I23" s="24"/>
    </row>
    <row r="24" spans="1:9" s="22" customFormat="1" x14ac:dyDescent="0.25">
      <c r="C24" s="2"/>
      <c r="D24" s="3"/>
      <c r="E24" s="27"/>
      <c r="F24" s="28"/>
      <c r="G24" s="23"/>
      <c r="H24" s="30"/>
      <c r="I24" s="24"/>
    </row>
    <row r="25" spans="1:9" x14ac:dyDescent="0.25">
      <c r="E25" s="29"/>
      <c r="F25" s="28"/>
      <c r="H25" s="28"/>
    </row>
    <row r="26" spans="1:9" x14ac:dyDescent="0.25">
      <c r="E26" s="29"/>
      <c r="F26" s="28"/>
      <c r="H26" s="28"/>
    </row>
    <row r="27" spans="1:9" x14ac:dyDescent="0.25">
      <c r="E27" s="29"/>
      <c r="F27" s="28"/>
      <c r="H27" s="28"/>
    </row>
    <row r="28" spans="1:9" x14ac:dyDescent="0.25">
      <c r="E28" s="29"/>
      <c r="F28" s="28"/>
      <c r="H28" s="28"/>
    </row>
    <row r="29" spans="1:9" x14ac:dyDescent="0.25">
      <c r="E29" s="29"/>
      <c r="F29" s="28"/>
      <c r="H29" s="28"/>
    </row>
    <row r="30" spans="1:9" x14ac:dyDescent="0.25">
      <c r="E30" s="29"/>
      <c r="F30" s="28"/>
      <c r="H30" s="28"/>
    </row>
    <row r="31" spans="1:9" x14ac:dyDescent="0.25">
      <c r="E31" s="29"/>
      <c r="F31" s="28"/>
      <c r="H31" s="28"/>
    </row>
    <row r="32" spans="1:9" x14ac:dyDescent="0.25">
      <c r="E32" s="29"/>
      <c r="F32" s="28"/>
      <c r="H32" s="28"/>
    </row>
    <row r="33" spans="5:8" x14ac:dyDescent="0.25">
      <c r="E33" s="29"/>
      <c r="F33" s="28"/>
      <c r="H33" s="28"/>
    </row>
    <row r="34" spans="5:8" x14ac:dyDescent="0.25">
      <c r="E34" s="29"/>
      <c r="F34" s="28"/>
      <c r="H34" s="28"/>
    </row>
    <row r="35" spans="5:8" x14ac:dyDescent="0.25">
      <c r="E35" s="29"/>
      <c r="F35" s="28"/>
      <c r="H35" s="28"/>
    </row>
    <row r="36" spans="5:8" x14ac:dyDescent="0.25">
      <c r="E36" s="29"/>
      <c r="F36" s="28"/>
      <c r="H36" s="28"/>
    </row>
    <row r="37" spans="5:8" x14ac:dyDescent="0.25">
      <c r="E37" s="29"/>
      <c r="F37" s="28"/>
      <c r="H37" s="28"/>
    </row>
    <row r="38" spans="5:8" x14ac:dyDescent="0.25">
      <c r="E38" s="29"/>
      <c r="F38" s="28"/>
      <c r="H38" s="28"/>
    </row>
    <row r="39" spans="5:8" x14ac:dyDescent="0.25">
      <c r="E39" s="29"/>
      <c r="F39" s="28"/>
      <c r="H39" s="28"/>
    </row>
    <row r="40" spans="5:8" x14ac:dyDescent="0.25">
      <c r="E40" s="29"/>
      <c r="F40" s="28"/>
      <c r="H40" s="28"/>
    </row>
    <row r="41" spans="5:8" x14ac:dyDescent="0.25">
      <c r="E41" s="29"/>
      <c r="F41" s="28"/>
      <c r="H41" s="28"/>
    </row>
    <row r="42" spans="5:8" x14ac:dyDescent="0.25">
      <c r="E42" s="29"/>
      <c r="F42" s="28"/>
      <c r="H42" s="28"/>
    </row>
    <row r="43" spans="5:8" x14ac:dyDescent="0.25">
      <c r="E43" s="29"/>
      <c r="F43" s="28"/>
      <c r="H43" s="28"/>
    </row>
    <row r="44" spans="5:8" x14ac:dyDescent="0.25">
      <c r="E44" s="29"/>
      <c r="F44" s="28"/>
      <c r="H44" s="28"/>
    </row>
    <row r="45" spans="5:8" x14ac:dyDescent="0.25">
      <c r="E45" s="29"/>
      <c r="F45" s="28"/>
      <c r="H45" s="28"/>
    </row>
    <row r="46" spans="5:8" x14ac:dyDescent="0.25">
      <c r="E46" s="29"/>
      <c r="F46" s="28"/>
      <c r="H46" s="28"/>
    </row>
    <row r="47" spans="5:8" x14ac:dyDescent="0.25">
      <c r="E47" s="29"/>
      <c r="F47" s="28"/>
      <c r="H47" s="28"/>
    </row>
    <row r="48" spans="5:8" x14ac:dyDescent="0.25">
      <c r="E48" s="29"/>
      <c r="F48" s="28"/>
      <c r="H48" s="28"/>
    </row>
    <row r="49" spans="5:8" x14ac:dyDescent="0.25">
      <c r="E49" s="29"/>
      <c r="F49" s="28"/>
      <c r="H49" s="28"/>
    </row>
    <row r="50" spans="5:8" x14ac:dyDescent="0.25">
      <c r="E50" s="29"/>
      <c r="F50" s="28"/>
      <c r="H50" s="28"/>
    </row>
    <row r="51" spans="5:8" x14ac:dyDescent="0.25">
      <c r="E51" s="29"/>
      <c r="F51" s="28"/>
      <c r="H51" s="28"/>
    </row>
    <row r="52" spans="5:8" x14ac:dyDescent="0.25">
      <c r="E52" s="29"/>
      <c r="F52" s="28"/>
      <c r="H52" s="28"/>
    </row>
    <row r="53" spans="5:8" x14ac:dyDescent="0.25">
      <c r="E53" s="29"/>
      <c r="F53" s="28"/>
      <c r="H53" s="28"/>
    </row>
    <row r="54" spans="5:8" x14ac:dyDescent="0.25">
      <c r="E54" s="29"/>
      <c r="F54" s="28"/>
      <c r="H54" s="28"/>
    </row>
    <row r="55" spans="5:8" x14ac:dyDescent="0.25">
      <c r="E55" s="29"/>
      <c r="F55" s="28"/>
      <c r="H55" s="28"/>
    </row>
    <row r="56" spans="5:8" x14ac:dyDescent="0.25">
      <c r="E56" s="29"/>
      <c r="F56" s="28"/>
      <c r="H56" s="28"/>
    </row>
    <row r="57" spans="5:8" x14ac:dyDescent="0.25">
      <c r="E57" s="29"/>
      <c r="F57" s="28"/>
      <c r="H57" s="28"/>
    </row>
    <row r="58" spans="5:8" x14ac:dyDescent="0.25">
      <c r="E58" s="29"/>
      <c r="F58" s="28"/>
      <c r="H58" s="28"/>
    </row>
    <row r="59" spans="5:8" x14ac:dyDescent="0.25">
      <c r="E59" s="29"/>
      <c r="F59" s="28"/>
      <c r="H59" s="28"/>
    </row>
    <row r="60" spans="5:8" x14ac:dyDescent="0.25">
      <c r="E60" s="29"/>
      <c r="F60" s="28"/>
      <c r="H60" s="28"/>
    </row>
    <row r="61" spans="5:8" x14ac:dyDescent="0.25">
      <c r="E61" s="29"/>
      <c r="F61" s="28"/>
      <c r="H61" s="28"/>
    </row>
    <row r="62" spans="5:8" x14ac:dyDescent="0.25">
      <c r="E62" s="29"/>
      <c r="F62" s="28"/>
      <c r="H62" s="28"/>
    </row>
    <row r="63" spans="5:8" x14ac:dyDescent="0.25">
      <c r="E63" s="29"/>
      <c r="F63" s="28"/>
      <c r="H63" s="28"/>
    </row>
    <row r="64" spans="5:8" x14ac:dyDescent="0.25">
      <c r="E64" s="29"/>
      <c r="F64" s="28"/>
      <c r="H64" s="28"/>
    </row>
    <row r="65" spans="5:8" x14ac:dyDescent="0.25">
      <c r="E65" s="29"/>
      <c r="F65" s="28"/>
      <c r="H65" s="28"/>
    </row>
    <row r="66" spans="5:8" x14ac:dyDescent="0.25">
      <c r="E66" s="29"/>
      <c r="F66" s="28"/>
      <c r="H66" s="28"/>
    </row>
    <row r="67" spans="5:8" x14ac:dyDescent="0.25">
      <c r="E67" s="29"/>
      <c r="F67" s="28"/>
      <c r="H67" s="28"/>
    </row>
    <row r="68" spans="5:8" x14ac:dyDescent="0.25">
      <c r="E68" s="29"/>
      <c r="F68" s="28"/>
      <c r="H68" s="28"/>
    </row>
    <row r="69" spans="5:8" x14ac:dyDescent="0.25">
      <c r="E69" s="29"/>
      <c r="F69" s="28"/>
      <c r="H69" s="28"/>
    </row>
    <row r="70" spans="5:8" x14ac:dyDescent="0.25">
      <c r="E70" s="29"/>
      <c r="F70" s="28"/>
      <c r="H70" s="28"/>
    </row>
    <row r="71" spans="5:8" x14ac:dyDescent="0.25">
      <c r="E71" s="29"/>
      <c r="F71" s="28"/>
      <c r="H71" s="28"/>
    </row>
    <row r="72" spans="5:8" x14ac:dyDescent="0.25">
      <c r="E72" s="29"/>
      <c r="F72" s="28"/>
      <c r="H72" s="28"/>
    </row>
    <row r="73" spans="5:8" x14ac:dyDescent="0.25">
      <c r="E73" s="29"/>
      <c r="F73" s="28"/>
      <c r="H73" s="28"/>
    </row>
    <row r="74" spans="5:8" x14ac:dyDescent="0.25">
      <c r="E74" s="29"/>
      <c r="F74" s="28"/>
      <c r="H74" s="28"/>
    </row>
    <row r="75" spans="5:8" x14ac:dyDescent="0.25">
      <c r="E75" s="29"/>
      <c r="F75" s="28"/>
      <c r="H75" s="28"/>
    </row>
    <row r="76" spans="5:8" x14ac:dyDescent="0.25">
      <c r="E76" s="29"/>
      <c r="F76" s="28"/>
      <c r="H76" s="28"/>
    </row>
    <row r="77" spans="5:8" x14ac:dyDescent="0.25">
      <c r="E77" s="29"/>
      <c r="F77" s="28"/>
      <c r="H77" s="28"/>
    </row>
    <row r="78" spans="5:8" x14ac:dyDescent="0.25">
      <c r="E78" s="29"/>
      <c r="F78" s="27"/>
      <c r="H78" s="28"/>
    </row>
    <row r="79" spans="5:8" x14ac:dyDescent="0.25">
      <c r="E79" s="29"/>
      <c r="F79" s="27"/>
      <c r="H79" s="28"/>
    </row>
    <row r="80" spans="5:8" x14ac:dyDescent="0.25">
      <c r="E80" s="29"/>
      <c r="F80" s="27"/>
      <c r="H80" s="28"/>
    </row>
    <row r="81" spans="5:8" x14ac:dyDescent="0.25">
      <c r="E81" s="29"/>
      <c r="F81" s="27"/>
      <c r="H81" s="28"/>
    </row>
    <row r="82" spans="5:8" x14ac:dyDescent="0.25">
      <c r="E82" s="29"/>
      <c r="F82" s="27"/>
      <c r="H82" s="28"/>
    </row>
    <row r="83" spans="5:8" x14ac:dyDescent="0.25">
      <c r="E83" s="29"/>
      <c r="F83" s="27"/>
      <c r="H83" s="28"/>
    </row>
    <row r="84" spans="5:8" x14ac:dyDescent="0.25">
      <c r="E84" s="29"/>
      <c r="F84" s="27"/>
      <c r="H84" s="28"/>
    </row>
    <row r="85" spans="5:8" x14ac:dyDescent="0.25">
      <c r="E85" s="29"/>
      <c r="F85" s="27"/>
      <c r="H85" s="28"/>
    </row>
    <row r="86" spans="5:8" x14ac:dyDescent="0.25">
      <c r="E86" s="29"/>
      <c r="F86" s="27"/>
      <c r="H86" s="28"/>
    </row>
    <row r="87" spans="5:8" x14ac:dyDescent="0.25">
      <c r="E87" s="29"/>
      <c r="F87" s="27"/>
      <c r="H87" s="28"/>
    </row>
    <row r="88" spans="5:8" x14ac:dyDescent="0.25">
      <c r="E88" s="29"/>
      <c r="F88" s="27"/>
      <c r="H88" s="28"/>
    </row>
    <row r="89" spans="5:8" x14ac:dyDescent="0.25">
      <c r="E89" s="29"/>
      <c r="F89" s="27"/>
      <c r="H89" s="28"/>
    </row>
    <row r="90" spans="5:8" x14ac:dyDescent="0.25">
      <c r="E90" s="29"/>
      <c r="F90" s="27"/>
      <c r="H90" s="28"/>
    </row>
    <row r="91" spans="5:8" x14ac:dyDescent="0.25">
      <c r="E91" s="29"/>
      <c r="F91" s="27"/>
      <c r="H91" s="28"/>
    </row>
    <row r="92" spans="5:8" x14ac:dyDescent="0.25">
      <c r="E92" s="29"/>
      <c r="F92" s="27"/>
      <c r="H92" s="28"/>
    </row>
    <row r="93" spans="5:8" x14ac:dyDescent="0.25">
      <c r="E93" s="29"/>
      <c r="F93" s="27"/>
      <c r="H93" s="28"/>
    </row>
    <row r="94" spans="5:8" x14ac:dyDescent="0.25">
      <c r="E94" s="29"/>
      <c r="F94" s="27"/>
      <c r="H94" s="28"/>
    </row>
    <row r="95" spans="5:8" x14ac:dyDescent="0.25">
      <c r="E95" s="29"/>
      <c r="F95" s="27"/>
      <c r="H95" s="28"/>
    </row>
    <row r="96" spans="5:8" x14ac:dyDescent="0.25">
      <c r="E96" s="29"/>
      <c r="F96" s="27"/>
      <c r="H96" s="28"/>
    </row>
    <row r="97" spans="5:8" x14ac:dyDescent="0.25">
      <c r="E97" s="29"/>
      <c r="F97" s="27"/>
      <c r="H97" s="28"/>
    </row>
    <row r="98" spans="5:8" x14ac:dyDescent="0.25">
      <c r="E98" s="29"/>
      <c r="F98" s="27"/>
      <c r="H98" s="28"/>
    </row>
    <row r="99" spans="5:8" x14ac:dyDescent="0.25">
      <c r="E99" s="29"/>
      <c r="F99" s="27"/>
      <c r="H99" s="28"/>
    </row>
    <row r="100" spans="5:8" x14ac:dyDescent="0.25">
      <c r="E100" s="29"/>
      <c r="F100" s="27"/>
      <c r="H100" s="28"/>
    </row>
    <row r="101" spans="5:8" x14ac:dyDescent="0.25">
      <c r="E101" s="29"/>
      <c r="F101" s="27"/>
      <c r="H101" s="28"/>
    </row>
    <row r="102" spans="5:8" x14ac:dyDescent="0.25">
      <c r="E102" s="29"/>
      <c r="F102" s="27"/>
      <c r="H102" s="28"/>
    </row>
    <row r="103" spans="5:8" x14ac:dyDescent="0.25">
      <c r="E103" s="29"/>
      <c r="F103" s="27"/>
      <c r="H103" s="28"/>
    </row>
    <row r="104" spans="5:8" x14ac:dyDescent="0.25">
      <c r="E104" s="29"/>
      <c r="F104" s="27"/>
      <c r="H104" s="28"/>
    </row>
    <row r="105" spans="5:8" x14ac:dyDescent="0.25">
      <c r="E105" s="29"/>
      <c r="F105" s="27"/>
      <c r="H105" s="28"/>
    </row>
    <row r="106" spans="5:8" x14ac:dyDescent="0.25">
      <c r="E106" s="29"/>
      <c r="F106" s="27"/>
      <c r="H106" s="28"/>
    </row>
    <row r="107" spans="5:8" x14ac:dyDescent="0.25">
      <c r="E107" s="29"/>
      <c r="F107" s="27"/>
      <c r="H107" s="28"/>
    </row>
    <row r="108" spans="5:8" x14ac:dyDescent="0.25">
      <c r="E108" s="29"/>
      <c r="F108" s="27"/>
      <c r="H108" s="28"/>
    </row>
    <row r="109" spans="5:8" x14ac:dyDescent="0.25">
      <c r="E109" s="29"/>
      <c r="F109" s="27"/>
      <c r="H109" s="28"/>
    </row>
    <row r="110" spans="5:8" x14ac:dyDescent="0.25">
      <c r="E110" s="29"/>
      <c r="F110" s="27"/>
      <c r="H110" s="28"/>
    </row>
    <row r="111" spans="5:8" x14ac:dyDescent="0.25">
      <c r="E111" s="29"/>
      <c r="F111" s="27"/>
      <c r="H111" s="28"/>
    </row>
    <row r="112" spans="5:8" x14ac:dyDescent="0.25">
      <c r="E112" s="29"/>
      <c r="F112" s="27"/>
      <c r="H112" s="28"/>
    </row>
    <row r="113" spans="5:8" x14ac:dyDescent="0.25">
      <c r="E113" s="29"/>
      <c r="F113" s="27"/>
      <c r="H113" s="28"/>
    </row>
    <row r="114" spans="5:8" x14ac:dyDescent="0.25">
      <c r="E114" s="29"/>
      <c r="F114" s="27"/>
      <c r="H114" s="28"/>
    </row>
    <row r="115" spans="5:8" x14ac:dyDescent="0.25">
      <c r="E115" s="29"/>
      <c r="F115" s="27"/>
      <c r="H115" s="28"/>
    </row>
    <row r="116" spans="5:8" x14ac:dyDescent="0.25">
      <c r="E116" s="29"/>
      <c r="F116" s="27"/>
      <c r="H116" s="28"/>
    </row>
    <row r="117" spans="5:8" x14ac:dyDescent="0.25">
      <c r="E117" s="29"/>
      <c r="F117" s="27"/>
      <c r="H117" s="28"/>
    </row>
    <row r="118" spans="5:8" x14ac:dyDescent="0.25">
      <c r="E118" s="29"/>
      <c r="F118" s="27"/>
      <c r="H118" s="28"/>
    </row>
    <row r="119" spans="5:8" x14ac:dyDescent="0.25">
      <c r="E119" s="29"/>
      <c r="F119" s="27"/>
      <c r="H119" s="28"/>
    </row>
    <row r="120" spans="5:8" x14ac:dyDescent="0.25">
      <c r="E120" s="29"/>
      <c r="F120" s="27"/>
      <c r="H120" s="28"/>
    </row>
    <row r="121" spans="5:8" x14ac:dyDescent="0.25">
      <c r="E121" s="29"/>
      <c r="F121" s="27"/>
      <c r="H121" s="28"/>
    </row>
    <row r="122" spans="5:8" x14ac:dyDescent="0.25">
      <c r="E122" s="29"/>
      <c r="F122" s="27"/>
      <c r="H122" s="28"/>
    </row>
    <row r="123" spans="5:8" x14ac:dyDescent="0.25">
      <c r="E123" s="29"/>
      <c r="F123" s="27"/>
      <c r="H123" s="28"/>
    </row>
    <row r="124" spans="5:8" x14ac:dyDescent="0.25">
      <c r="E124" s="29"/>
      <c r="F124" s="27"/>
      <c r="H124" s="28"/>
    </row>
    <row r="125" spans="5:8" x14ac:dyDescent="0.25">
      <c r="E125" s="29"/>
      <c r="F125" s="27"/>
      <c r="H125" s="28"/>
    </row>
    <row r="126" spans="5:8" x14ac:dyDescent="0.25">
      <c r="E126" s="29"/>
      <c r="F126" s="27"/>
      <c r="H126" s="28"/>
    </row>
    <row r="127" spans="5:8" x14ac:dyDescent="0.25">
      <c r="E127" s="29"/>
      <c r="F127" s="27"/>
      <c r="H127" s="28"/>
    </row>
    <row r="128" spans="5:8" x14ac:dyDescent="0.25">
      <c r="E128" s="29"/>
      <c r="F128" s="27"/>
      <c r="H128" s="28"/>
    </row>
    <row r="129" spans="5:8" x14ac:dyDescent="0.25">
      <c r="E129" s="29"/>
      <c r="F129" s="27"/>
      <c r="H129" s="28"/>
    </row>
    <row r="130" spans="5:8" x14ac:dyDescent="0.25">
      <c r="E130" s="29"/>
      <c r="F130" s="27"/>
      <c r="H130" s="28"/>
    </row>
    <row r="131" spans="5:8" x14ac:dyDescent="0.25">
      <c r="E131" s="29"/>
      <c r="F131" s="27"/>
      <c r="H131" s="28"/>
    </row>
    <row r="132" spans="5:8" x14ac:dyDescent="0.25">
      <c r="E132" s="29"/>
      <c r="F132" s="27"/>
      <c r="H132" s="28"/>
    </row>
    <row r="133" spans="5:8" x14ac:dyDescent="0.25">
      <c r="E133" s="29"/>
      <c r="F133" s="27"/>
      <c r="H133" s="28"/>
    </row>
    <row r="134" spans="5:8" x14ac:dyDescent="0.25">
      <c r="E134" s="29"/>
      <c r="F134" s="27"/>
      <c r="H134" s="28"/>
    </row>
    <row r="135" spans="5:8" x14ac:dyDescent="0.25">
      <c r="E135" s="29"/>
      <c r="F135" s="27"/>
      <c r="H135" s="28"/>
    </row>
    <row r="136" spans="5:8" x14ac:dyDescent="0.25">
      <c r="E136" s="29"/>
      <c r="F136" s="27"/>
      <c r="H136" s="28"/>
    </row>
    <row r="137" spans="5:8" x14ac:dyDescent="0.25">
      <c r="E137" s="29"/>
      <c r="F137" s="27"/>
      <c r="H137" s="28"/>
    </row>
    <row r="138" spans="5:8" x14ac:dyDescent="0.25">
      <c r="E138" s="29"/>
      <c r="F138" s="27"/>
      <c r="H138" s="28"/>
    </row>
    <row r="139" spans="5:8" x14ac:dyDescent="0.25">
      <c r="E139" s="29"/>
      <c r="F139" s="27"/>
      <c r="H139" s="28"/>
    </row>
    <row r="140" spans="5:8" x14ac:dyDescent="0.25">
      <c r="E140" s="29"/>
      <c r="F140" s="27"/>
      <c r="H140" s="28"/>
    </row>
    <row r="141" spans="5:8" x14ac:dyDescent="0.25">
      <c r="E141" s="29"/>
      <c r="F141" s="27"/>
      <c r="H141" s="28"/>
    </row>
    <row r="142" spans="5:8" x14ac:dyDescent="0.25">
      <c r="E142" s="29"/>
      <c r="F142" s="27"/>
      <c r="H142" s="28"/>
    </row>
    <row r="143" spans="5:8" x14ac:dyDescent="0.25">
      <c r="E143" s="29"/>
      <c r="F143" s="27"/>
      <c r="H143" s="28"/>
    </row>
    <row r="144" spans="5:8" x14ac:dyDescent="0.25">
      <c r="E144" s="29"/>
      <c r="F144" s="27"/>
      <c r="H144" s="28"/>
    </row>
    <row r="145" spans="5:8" x14ac:dyDescent="0.25">
      <c r="E145" s="29"/>
      <c r="F145" s="27"/>
      <c r="H145" s="28"/>
    </row>
    <row r="146" spans="5:8" x14ac:dyDescent="0.25">
      <c r="E146" s="29"/>
      <c r="F146" s="27"/>
      <c r="H146" s="28"/>
    </row>
    <row r="147" spans="5:8" x14ac:dyDescent="0.25">
      <c r="E147" s="29"/>
      <c r="F147" s="27"/>
      <c r="H147" s="28"/>
    </row>
    <row r="148" spans="5:8" x14ac:dyDescent="0.25">
      <c r="E148" s="29"/>
      <c r="F148" s="27"/>
      <c r="H148" s="28"/>
    </row>
    <row r="149" spans="5:8" x14ac:dyDescent="0.25">
      <c r="E149" s="29"/>
      <c r="F149" s="27"/>
      <c r="H149" s="28"/>
    </row>
    <row r="150" spans="5:8" x14ac:dyDescent="0.25">
      <c r="E150" s="29"/>
      <c r="F150" s="27"/>
      <c r="H150" s="28"/>
    </row>
    <row r="151" spans="5:8" x14ac:dyDescent="0.25">
      <c r="E151" s="29"/>
      <c r="F151" s="27"/>
      <c r="H151" s="28"/>
    </row>
    <row r="152" spans="5:8" x14ac:dyDescent="0.25">
      <c r="E152" s="29"/>
      <c r="F152" s="27"/>
      <c r="H152" s="28"/>
    </row>
    <row r="153" spans="5:8" x14ac:dyDescent="0.25">
      <c r="E153" s="29"/>
      <c r="F153" s="27"/>
      <c r="H153" s="28"/>
    </row>
    <row r="154" spans="5:8" x14ac:dyDescent="0.25">
      <c r="E154" s="29"/>
      <c r="F154" s="27"/>
      <c r="H154" s="28"/>
    </row>
    <row r="155" spans="5:8" x14ac:dyDescent="0.25">
      <c r="E155" s="29"/>
      <c r="F155" s="27"/>
      <c r="H155" s="28"/>
    </row>
    <row r="156" spans="5:8" x14ac:dyDescent="0.25">
      <c r="E156" s="29"/>
      <c r="F156" s="27"/>
      <c r="H156" s="28"/>
    </row>
    <row r="157" spans="5:8" x14ac:dyDescent="0.25">
      <c r="E157" s="29"/>
      <c r="F157" s="27"/>
      <c r="H157" s="28"/>
    </row>
    <row r="158" spans="5:8" x14ac:dyDescent="0.25">
      <c r="E158" s="29"/>
      <c r="F158" s="27"/>
      <c r="H158" s="28"/>
    </row>
    <row r="159" spans="5:8" x14ac:dyDescent="0.25">
      <c r="E159" s="29"/>
      <c r="F159" s="27"/>
      <c r="H159" s="28"/>
    </row>
    <row r="160" spans="5:8" x14ac:dyDescent="0.25">
      <c r="E160" s="29"/>
      <c r="F160" s="27"/>
      <c r="H160" s="28"/>
    </row>
    <row r="161" spans="5:8" x14ac:dyDescent="0.25">
      <c r="E161" s="29"/>
      <c r="F161" s="27"/>
      <c r="H161" s="28"/>
    </row>
    <row r="162" spans="5:8" x14ac:dyDescent="0.25">
      <c r="E162" s="29"/>
      <c r="F162" s="27"/>
      <c r="H162" s="28"/>
    </row>
    <row r="163" spans="5:8" x14ac:dyDescent="0.25">
      <c r="E163" s="29"/>
      <c r="F163" s="27"/>
      <c r="H163" s="28"/>
    </row>
    <row r="164" spans="5:8" x14ac:dyDescent="0.25">
      <c r="E164" s="29"/>
      <c r="F164" s="27"/>
      <c r="H164" s="28"/>
    </row>
    <row r="165" spans="5:8" x14ac:dyDescent="0.25">
      <c r="E165" s="29"/>
      <c r="F165" s="27"/>
      <c r="H165" s="28"/>
    </row>
    <row r="166" spans="5:8" x14ac:dyDescent="0.25">
      <c r="E166" s="29"/>
      <c r="F166" s="27"/>
      <c r="H166" s="28"/>
    </row>
    <row r="167" spans="5:8" x14ac:dyDescent="0.25">
      <c r="E167" s="29"/>
      <c r="F167" s="27"/>
      <c r="H167" s="28"/>
    </row>
    <row r="168" spans="5:8" x14ac:dyDescent="0.25">
      <c r="E168" s="29"/>
      <c r="F168" s="27"/>
      <c r="H168" s="28"/>
    </row>
    <row r="169" spans="5:8" x14ac:dyDescent="0.25">
      <c r="E169" s="29"/>
      <c r="F169" s="27"/>
      <c r="H169" s="28"/>
    </row>
    <row r="170" spans="5:8" x14ac:dyDescent="0.25">
      <c r="E170" s="29"/>
      <c r="F170" s="27"/>
      <c r="H170" s="28"/>
    </row>
    <row r="171" spans="5:8" x14ac:dyDescent="0.25">
      <c r="E171" s="29"/>
      <c r="F171" s="27"/>
      <c r="H171" s="28"/>
    </row>
    <row r="172" spans="5:8" x14ac:dyDescent="0.25">
      <c r="E172" s="29"/>
      <c r="F172" s="27"/>
      <c r="H172" s="28"/>
    </row>
    <row r="173" spans="5:8" x14ac:dyDescent="0.25">
      <c r="E173" s="29"/>
      <c r="F173" s="27"/>
      <c r="H173" s="28"/>
    </row>
    <row r="174" spans="5:8" x14ac:dyDescent="0.25">
      <c r="E174" s="29"/>
      <c r="F174" s="27"/>
      <c r="H174" s="28"/>
    </row>
    <row r="175" spans="5:8" x14ac:dyDescent="0.25">
      <c r="E175" s="29"/>
      <c r="F175" s="27"/>
      <c r="H175" s="28"/>
    </row>
    <row r="176" spans="5:8" x14ac:dyDescent="0.25">
      <c r="E176" s="29"/>
      <c r="F176" s="27"/>
      <c r="H176" s="28"/>
    </row>
    <row r="177" spans="5:8" x14ac:dyDescent="0.25">
      <c r="E177" s="29"/>
      <c r="F177" s="27"/>
      <c r="H177" s="28"/>
    </row>
    <row r="178" spans="5:8" x14ac:dyDescent="0.25">
      <c r="E178" s="29"/>
      <c r="F178" s="27"/>
      <c r="H178" s="28"/>
    </row>
    <row r="179" spans="5:8" x14ac:dyDescent="0.25">
      <c r="E179" s="29"/>
      <c r="F179" s="27"/>
      <c r="H179" s="28"/>
    </row>
    <row r="180" spans="5:8" x14ac:dyDescent="0.25">
      <c r="E180" s="29"/>
      <c r="F180" s="27"/>
      <c r="H180" s="28"/>
    </row>
    <row r="181" spans="5:8" x14ac:dyDescent="0.25">
      <c r="E181" s="29"/>
      <c r="F181" s="27"/>
      <c r="H181" s="28"/>
    </row>
    <row r="182" spans="5:8" x14ac:dyDescent="0.25">
      <c r="E182" s="29"/>
      <c r="F182" s="27"/>
      <c r="H182" s="28"/>
    </row>
    <row r="183" spans="5:8" x14ac:dyDescent="0.25">
      <c r="E183" s="29"/>
      <c r="F183" s="27"/>
      <c r="H183" s="28"/>
    </row>
    <row r="184" spans="5:8" x14ac:dyDescent="0.25">
      <c r="E184" s="29"/>
      <c r="F184" s="27"/>
      <c r="H184" s="28"/>
    </row>
    <row r="185" spans="5:8" x14ac:dyDescent="0.25">
      <c r="E185" s="29"/>
      <c r="F185" s="27"/>
      <c r="H185" s="28"/>
    </row>
    <row r="186" spans="5:8" x14ac:dyDescent="0.25">
      <c r="E186" s="29"/>
      <c r="F186" s="27"/>
      <c r="H186" s="28"/>
    </row>
    <row r="187" spans="5:8" x14ac:dyDescent="0.25">
      <c r="E187" s="29"/>
      <c r="F187" s="27"/>
      <c r="H187" s="28"/>
    </row>
    <row r="188" spans="5:8" x14ac:dyDescent="0.25">
      <c r="E188" s="29"/>
      <c r="F188" s="27"/>
      <c r="H188" s="28"/>
    </row>
    <row r="189" spans="5:8" x14ac:dyDescent="0.25">
      <c r="E189" s="29"/>
      <c r="F189" s="27"/>
      <c r="H189" s="28"/>
    </row>
    <row r="190" spans="5:8" x14ac:dyDescent="0.25">
      <c r="E190" s="29"/>
      <c r="F190" s="27"/>
      <c r="H190" s="28"/>
    </row>
    <row r="191" spans="5:8" x14ac:dyDescent="0.25">
      <c r="E191" s="29"/>
      <c r="F191" s="27"/>
      <c r="H191" s="28"/>
    </row>
    <row r="192" spans="5:8" x14ac:dyDescent="0.25">
      <c r="E192" s="29"/>
      <c r="F192" s="27"/>
      <c r="H192" s="28"/>
    </row>
    <row r="193" spans="5:8" x14ac:dyDescent="0.25">
      <c r="E193" s="29"/>
      <c r="F193" s="27"/>
      <c r="H193" s="28"/>
    </row>
    <row r="194" spans="5:8" x14ac:dyDescent="0.25">
      <c r="E194" s="29"/>
      <c r="F194" s="27"/>
      <c r="H194" s="28"/>
    </row>
    <row r="195" spans="5:8" x14ac:dyDescent="0.25">
      <c r="E195" s="29"/>
      <c r="H195" s="28"/>
    </row>
    <row r="196" spans="5:8" x14ac:dyDescent="0.25">
      <c r="E196" s="29"/>
      <c r="H196" s="28"/>
    </row>
    <row r="197" spans="5:8" x14ac:dyDescent="0.25">
      <c r="E197" s="8"/>
      <c r="H197" s="28"/>
    </row>
    <row r="198" spans="5:8" x14ac:dyDescent="0.25">
      <c r="E198" s="8"/>
      <c r="H198" s="28"/>
    </row>
    <row r="199" spans="5:8" x14ac:dyDescent="0.25">
      <c r="E199" s="8"/>
      <c r="H199" s="28"/>
    </row>
    <row r="200" spans="5:8" x14ac:dyDescent="0.25">
      <c r="E200" s="8"/>
      <c r="H200" s="28"/>
    </row>
    <row r="201" spans="5:8" x14ac:dyDescent="0.25">
      <c r="E201" s="8"/>
    </row>
    <row r="202" spans="5:8" x14ac:dyDescent="0.25">
      <c r="E202" s="8"/>
    </row>
  </sheetData>
  <mergeCells count="9">
    <mergeCell ref="F10:G10"/>
    <mergeCell ref="H10:I10"/>
    <mergeCell ref="A3:C3"/>
    <mergeCell ref="A6:C6"/>
    <mergeCell ref="A8:C8"/>
    <mergeCell ref="E3:G3"/>
    <mergeCell ref="E6:G6"/>
    <mergeCell ref="E8:G8"/>
    <mergeCell ref="A9:H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7AA8-9919-447D-9527-DC07F36DCA21}">
  <dimension ref="A1:B3"/>
  <sheetViews>
    <sheetView workbookViewId="0">
      <selection activeCell="A3" sqref="A3"/>
    </sheetView>
  </sheetViews>
  <sheetFormatPr baseColWidth="10" defaultColWidth="11.42578125" defaultRowHeight="15" x14ac:dyDescent="0.25"/>
  <cols>
    <col min="2" max="2" width="67.7109375" customWidth="1"/>
  </cols>
  <sheetData>
    <row r="1" spans="1:2" ht="15.75" thickBot="1" x14ac:dyDescent="0.3">
      <c r="B1" s="1" t="s">
        <v>29</v>
      </c>
    </row>
    <row r="2" spans="1:2" ht="15.75" thickBot="1" x14ac:dyDescent="0.3">
      <c r="A2" s="26"/>
      <c r="B2" s="1" t="s">
        <v>30</v>
      </c>
    </row>
    <row r="3" spans="1:2" x14ac:dyDescent="0.25">
      <c r="A3" s="23"/>
      <c r="B3" s="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fd46784-a323-4a13-9ce7-d880620db668">RVE4WTQSMYQ2-1827405729-1021</_dlc_DocId>
    <_dlc_DocIdUrl xmlns="4fd46784-a323-4a13-9ce7-d880620db668">
      <Url>https://espacios.metromadrid.es/sitios/ACTI/_layouts/15/DocIdRedir.aspx?ID=RVE4WTQSMYQ2-1827405729-1021</Url>
      <Description>RVE4WTQSMYQ2-1827405729-1021</Description>
    </_dlc_DocIdUrl>
    <SharedWithUsers xmlns="4fd46784-a323-4a13-9ce7-d880620db668">
      <UserInfo>
        <DisplayName>Carbajo Calvo, Roberto</DisplayName>
        <AccountId>1786</AccountId>
        <AccountType/>
      </UserInfo>
      <UserInfo>
        <DisplayName>Aniz García, María Eugenia</DisplayName>
        <AccountId>318</AccountId>
        <AccountType/>
      </UserInfo>
    </SharedWithUsers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36B117486650468329313898BB7A96" ma:contentTypeVersion="2" ma:contentTypeDescription="Crear nuevo documento." ma:contentTypeScope="" ma:versionID="e6cb906d5945a7d2eaa14441bad84f75">
  <xsd:schema xmlns:xsd="http://www.w3.org/2001/XMLSchema" xmlns:xs="http://www.w3.org/2001/XMLSchema" xmlns:p="http://schemas.microsoft.com/office/2006/metadata/properties" xmlns:ns2="4fd46784-a323-4a13-9ce7-d880620db668" targetNamespace="http://schemas.microsoft.com/office/2006/metadata/properties" ma:root="true" ma:fieldsID="2e6ed0d2df33fe970b89d78e8a2c15f2" ns2:_="">
    <xsd:import namespace="4fd46784-a323-4a13-9ce7-d880620db66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46784-a323-4a13-9ce7-d880620db6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1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A7E84-EC2F-48E3-A1FB-3554E872B42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c267183c-d7e5-44d0-9a28-6883cf5fe4d7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bacb354c-e7f2-49fa-a48e-f1857a165e78"/>
    <ds:schemaRef ds:uri="c4a6cc1e-42bf-475f-8c44-5294e8a84573"/>
    <ds:schemaRef ds:uri="4fd46784-a323-4a13-9ce7-d880620db668"/>
  </ds:schemaRefs>
</ds:datastoreItem>
</file>

<file path=customXml/itemProps2.xml><?xml version="1.0" encoding="utf-8"?>
<ds:datastoreItem xmlns:ds="http://schemas.openxmlformats.org/officeDocument/2006/customXml" ds:itemID="{D53EAAA9-5CA9-4A6F-A756-75BBCFB1C1A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B71774-151E-4B49-A74C-DF0822425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d46784-a323-4a13-9ce7-d880620db6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F44FB17-1FF8-4B15-B694-1685D58BA2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CERTO</vt:lpstr>
      <vt:lpstr>Glosario</vt:lpstr>
    </vt:vector>
  </TitlesOfParts>
  <Manager/>
  <Company>Metro de Madrid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Miguel, Carlos</dc:creator>
  <cp:keywords/>
  <dc:description/>
  <cp:lastModifiedBy>Tejado Sánchez, Andrea</cp:lastModifiedBy>
  <cp:revision/>
  <dcterms:created xsi:type="dcterms:W3CDTF">2023-06-09T08:33:37Z</dcterms:created>
  <dcterms:modified xsi:type="dcterms:W3CDTF">2025-10-29T08:11:32Z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0x010100EA36B117486650468329313898BB7A96</vt:lpwstr>
  </property>
  <property fmtid="{D5CDD505-2E9C-101B-9397-08002B2CF9AE}" pid="3" name="_dlc_DocIdItemGuid">
    <vt:lpwstr>9b860047-e6bd-4c64-9960-0aec271ba418</vt:lpwstr>
  </property>
  <property fmtid="{D5CDD505-2E9C-101B-9397-08002B2CF9AE}" pid="4" name="TaxKeyword">
    <vt:lpwstr/>
  </property>
</Properties>
</file>